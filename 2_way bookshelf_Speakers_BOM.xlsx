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<sst xmlns="http://schemas.openxmlformats.org/spreadsheetml/2006/main" count="151" uniqueCount="119">
  <si>
    <t xml:space="preserve">DIY 2-WAY BOOKSHELF SPEAKER — BILL OF MATERIALS</t>
  </si>
  <si>
    <t xml:space="preserve">Complete stereo pair build · Hyderabad, India · 2024</t>
  </si>
  <si>
    <t xml:space="preserve">#</t>
  </si>
  <si>
    <t xml:space="preserve">Component</t>
  </si>
  <si>
    <t xml:space="preserve">Description / Specs</t>
  </si>
  <si>
    <t xml:space="preserve">Source</t>
  </si>
  <si>
    <t xml:space="preserve">Qty</t>
  </si>
  <si>
    <t xml:space="preserve">Unit (₹)</t>
  </si>
  <si>
    <t xml:space="preserve">Total (₹)</t>
  </si>
  <si>
    <t xml:space="preserve">Notes</t>
  </si>
  <si>
    <t xml:space="preserve">  DRIVERS</t>
  </si>
  <si>
    <t xml:space="preserve">DS-52G060 woofer</t>
  </si>
  <si>
    <t xml:space="preserve">5.25" 8Ω 60W RMS, glass fiber cone, double magnet</t>
  </si>
  <si>
    <t xml:space="preserve">Doogesound</t>
  </si>
  <si>
    <t xml:space="preserve">Confirm 8Ω version — NOT 4Ω</t>
  </si>
  <si>
    <t xml:space="preserve">DE15-04 tweeter</t>
  </si>
  <si>
    <t xml:space="preserve">1" silk dome, 8Ω, 40W, European diaphragm</t>
  </si>
  <si>
    <t xml:space="preserve">Sensitivity pad: 4.7Ω series resistor</t>
  </si>
  <si>
    <t xml:space="preserve">  CROSSOVER COMPONENTS</t>
  </si>
  <si>
    <t xml:space="preserve">MKPA-S 6.8µF cap</t>
  </si>
  <si>
    <t xml:space="preserve">Polypropylene film, 250VDC, ±3%</t>
  </si>
  <si>
    <t xml:space="preserve">C1 + C3 tweeter HP (×2 per cab)</t>
  </si>
  <si>
    <t xml:space="preserve">MKPA-S 10µF cap</t>
  </si>
  <si>
    <t xml:space="preserve">C2 woofer shunt — parallel with 3.3µF</t>
  </si>
  <si>
    <t xml:space="preserve">MKPA-S 3.3µF cap</t>
  </si>
  <si>
    <t xml:space="preserve">C2 woofer shunt — parallel with 10µF</t>
  </si>
  <si>
    <t xml:space="preserve">4.7Ω 10W resistor</t>
  </si>
  <si>
    <t xml:space="preserve">Non-inductive wirewound, 5% tolerance</t>
  </si>
  <si>
    <t xml:space="preserve">Tweeter sensitivity pad — 4dB attenuation</t>
  </si>
  <si>
    <t xml:space="preserve">0.42mH inductor (L1/L3)</t>
  </si>
  <si>
    <t xml:space="preserve">Air core, 0.5mm enamel wire, 25mm PETG former</t>
  </si>
  <si>
    <t xml:space="preserve">Wind yourself</t>
  </si>
  <si>
    <t xml:space="preserve">—</t>
  </si>
  <si>
    <t xml:space="preserve">3 layers × 75 turns, wire from Gujarati Gali</t>
  </si>
  <si>
    <t xml:space="preserve">0.85mH inductor (L2)</t>
  </si>
  <si>
    <t xml:space="preserve">Air core, 22SWG enamel wire, 35mm PETG former</t>
  </si>
  <si>
    <t xml:space="preserve">4 layers × 46 turns on 35mm former</t>
  </si>
  <si>
    <t xml:space="preserve">  AMPLIFIER SYSTEM</t>
  </si>
  <si>
    <t xml:space="preserve">TPA3255 amp board</t>
  </si>
  <si>
    <t xml:space="preserve">300W×2 Class D, TI PurePath, 0.006% THD</t>
  </si>
  <si>
    <t xml:space="preserve">Maker Bazar</t>
  </si>
  <si>
    <t xml:space="preserve">Run at 36V → ~63W/ch into 8Ω</t>
  </si>
  <si>
    <t xml:space="preserve">36V 10A SMPS</t>
  </si>
  <si>
    <t xml:space="preserve">360W, metal case, EMI filtered, overcurrent prot.</t>
  </si>
  <si>
    <t xml:space="preserve">Do NOT use 48V — exceeds safe driver power</t>
  </si>
  <si>
    <t xml:space="preserve">XH-A901 tone preamp</t>
  </si>
  <si>
    <t xml:space="preserve">NE5532 dual op-amp, bass/treble/volume</t>
  </si>
  <si>
    <t xml:space="preserve">Included in Maker Bazar cart</t>
  </si>
  <si>
    <t xml:space="preserve">Buck converter 36V→12V</t>
  </si>
  <si>
    <t xml:space="preserve">Powers XH-A901 tone preamp</t>
  </si>
  <si>
    <t xml:space="preserve">  CABINET</t>
  </si>
  <si>
    <t xml:space="preserve">12mm Gurjan BWR ply</t>
  </si>
  <si>
    <t xml:space="preserve">175×255×175mm ext, 8.0L net internal</t>
  </si>
  <si>
    <t xml:space="preserve">Local timber</t>
  </si>
  <si>
    <t xml:space="preserve">Per cabinet: 2×front/rear, 2×top/bot, 2×sides</t>
  </si>
  <si>
    <t xml:space="preserve">Port duct (PETG print)</t>
  </si>
  <si>
    <t xml:space="preserve">80×20mm slot, 93mm deep, 3mm walls</t>
  </si>
  <si>
    <t xml:space="preserve">3D print</t>
  </si>
  <si>
    <t xml:space="preserve">60% gyroid infill, seals with silicone</t>
  </si>
  <si>
    <t xml:space="preserve">Inductor bobbins (print)</t>
  </si>
  <si>
    <t xml:space="preserve">25mm + 35mm formers, PETG</t>
  </si>
  <si>
    <t xml:space="preserve">4× L1/L3 bobbin + 2× L2 bobbin</t>
  </si>
  <si>
    <t xml:space="preserve">Acoustic polyfill</t>
  </si>
  <si>
    <t xml:space="preserve">~0.5m² per cabinet, rear + side walls</t>
  </si>
  <si>
    <t xml:space="preserve">Local / Amazon</t>
  </si>
  <si>
    <t xml:space="preserve">Do NOT stuff port area</t>
  </si>
  <si>
    <t xml:space="preserve">Speaker binding posts</t>
  </si>
  <si>
    <t xml:space="preserve">Banana/spade type, 2 per cabinet</t>
  </si>
  <si>
    <t xml:space="preserve">Gujarati Gali</t>
  </si>
  <si>
    <t xml:space="preserve">Mount on rear panel, 40mm from bottom</t>
  </si>
  <si>
    <t xml:space="preserve">Wood screws + glue</t>
  </si>
  <si>
    <t xml:space="preserve">PVA wood glue + silicone sealant</t>
  </si>
  <si>
    <t xml:space="preserve">Local hardware</t>
  </si>
  <si>
    <t xml:space="preserve">Silicone all internal seams — airtight critical</t>
  </si>
  <si>
    <t xml:space="preserve">  WIRING &amp; CONNECTIONS</t>
  </si>
  <si>
    <t xml:space="preserve">22SWG enamel copper wire</t>
  </si>
  <si>
    <t xml:space="preserve">For L2 inductor winding, 50m spool</t>
  </si>
  <si>
    <t xml:space="preserve">44m needed + buffer — ~₹4–5/m local price</t>
  </si>
  <si>
    <t xml:space="preserve">0.5mm enamel wire</t>
  </si>
  <si>
    <t xml:space="preserve">For L1/L3 inductors — already owned</t>
  </si>
  <si>
    <t xml:space="preserve">Already owned</t>
  </si>
  <si>
    <t xml:space="preserve">42m needed from 50m spool</t>
  </si>
  <si>
    <t xml:space="preserve">16AWG speaker wire</t>
  </si>
  <si>
    <t xml:space="preserve">Internal cabinet wiring, ~2m per cab</t>
  </si>
  <si>
    <t xml:space="preserve">Local market</t>
  </si>
  <si>
    <t xml:space="preserve">Keep power + signal wires separated</t>
  </si>
  <si>
    <t xml:space="preserve">RCA cable</t>
  </si>
  <si>
    <t xml:space="preserve">3.5mm to dual RCA, shielded, ~1m</t>
  </si>
  <si>
    <t xml:space="preserve">Amazon India</t>
  </si>
  <si>
    <t xml:space="preserve">DAC → XH-A901 → TPA3255</t>
  </si>
  <si>
    <t xml:space="preserve">Perfboard</t>
  </si>
  <si>
    <t xml:space="preserve">For crossover board assembly</t>
  </si>
  <si>
    <t xml:space="preserve">One per cabinet, solder components</t>
  </si>
  <si>
    <t xml:space="preserve">  SOURCE</t>
  </si>
  <si>
    <t xml:space="preserve">HZ × ddHiFi USB-C DAC</t>
  </si>
  <si>
    <t xml:space="preserve">CX31993 chip, 105dB SNR, 384kHz/32bit</t>
  </si>
  <si>
    <t xml:space="preserve">Already owned — best quality source chain</t>
  </si>
  <si>
    <t xml:space="preserve">TOTAL BUILD COST (complete stereo pair)</t>
  </si>
  <si>
    <t xml:space="preserve">Commercial equivalent value (passive speakers + same amp)</t>
  </si>
  <si>
    <t xml:space="preserve">₹22,000–28,000</t>
  </si>
  <si>
    <t xml:space="preserve">You save</t>
  </si>
  <si>
    <t xml:space="preserve">~₹10,000–16,000</t>
  </si>
  <si>
    <t xml:space="preserve">CRITICAL BUILD NOTES</t>
  </si>
  <si>
    <t xml:space="preserve">⚠</t>
  </si>
  <si>
    <t xml:space="preserve">Tweeter polarity</t>
  </si>
  <si>
    <t xml:space="preserve">Wire tweeter in REVERSE polarity (swap + and −). Required for 3rd order Butterworth — 270° phase shift.</t>
  </si>
  <si>
    <t xml:space="preserve">Port clearance</t>
  </si>
  <si>
    <t xml:space="preserve">Side port needs minimum 80mm wall clearance. Port on RIGHT side panel only.</t>
  </si>
  <si>
    <t xml:space="preserve">✓</t>
  </si>
  <si>
    <t xml:space="preserve">Inductor winding</t>
  </si>
  <si>
    <t xml:space="preserve">L1/L3: 0.5mm wire, 25mm former, 3 layers × 75 turns. L2: 22SWG, 35mm former, 4 layers × 46 turns.</t>
  </si>
  <si>
    <t xml:space="preserve">Cabinet sealing</t>
  </si>
  <si>
    <t xml:space="preserve">Seal ALL internal joints with PVA glue + thin silicone bead. Any air leak detunes port and kills bass.</t>
  </si>
  <si>
    <t xml:space="preserve">First test</t>
  </si>
  <si>
    <t xml:space="preserve">Wire everything before permanently sealing cabinet. Play 30 mins, check coils for heat, verify both drivers.</t>
  </si>
  <si>
    <t xml:space="preserve">Power supply</t>
  </si>
  <si>
    <t xml:space="preserve">Run TPA3255 at 36V only. Do NOT use 48V PSU directly — delivers 115W into 60W driver. Use SMPS directly.</t>
  </si>
  <si>
    <t xml:space="preserve">Listening distance</t>
  </si>
  <si>
    <t xml:space="preserve">Minimum 80cm, ideal 1–1.5m. Toe-in 10–15° toward listening position. Tweeter at ear level.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</si>
</sst>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1D4ED8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i val="true"/>
      <sz val="10"/>
      <color rgb="FF7C3AED"/>
      <name val="Arial"/>
      <family val="0"/>
      <charset val="1"/>
    </font>
    <font>
      <i val="true"/>
      <sz val="10"/>
      <color rgb="FF16A3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2"/>
      <color rgb="FFD97706"/>
      <name val="Arial"/>
      <family val="0"/>
      <charset val="1"/>
    </font>
    <font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3D3D3D"/>
        <bgColor rgb="FF2D2D2D"/>
      </patternFill>
    </fill>
    <fill>
      <patternFill patternType="solid">
        <fgColor rgb="FF2D2D2D"/>
        <bgColor rgb="FF3D3D3D"/>
      </patternFill>
    </fill>
    <fill>
      <patternFill patternType="solid">
        <fgColor rgb="FFFFFFFF"/>
        <bgColor rgb="FFF5F3EF"/>
      </patternFill>
    </fill>
    <fill>
      <patternFill patternType="solid">
        <fgColor rgb="FFF5F3EF"/>
        <bgColor rgb="FFF0ECE4"/>
      </patternFill>
    </fill>
    <fill>
      <patternFill patternType="solid">
        <fgColor rgb="FFF0ECE4"/>
        <bgColor rgb="FFF5F3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CC5"/>
      </left>
      <right style="thin">
        <color rgb="FFD0CCC5"/>
      </right>
      <top style="thin">
        <color rgb="FFD0CCC5"/>
      </top>
      <bottom style="thin">
        <color rgb="FFD0CCC5"/>
      </bottom>
      <diagonal/>
    </border>
    <border diagonalUp="false" diagonalDown="false">
      <left/>
      <right/>
      <top/>
      <bottom style="thin">
        <color rgb="FFD0CC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CC5"/>
      <rgbColor rgb="FF808080"/>
      <rgbColor rgb="FF9999FF"/>
      <rgbColor rgb="FF7C3AED"/>
      <rgbColor rgb="FFF5F3EF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C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555555"/>
      <rgbColor rgb="FFAAAAAA"/>
      <rgbColor rgb="FF003366"/>
      <rgbColor rgb="FF16A34A"/>
      <rgbColor rgb="FF1A1A1A"/>
      <rgbColor rgb="FF3D3D3D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.7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.75" hidden="false" customHeight="true" outlineLevel="0" collapsed="false">
      <c r="A6" s="5" t="n">
        <v>1</v>
      </c>
      <c r="B6" s="6" t="s">
        <v>11</v>
      </c>
      <c r="C6" s="7" t="s">
        <v>12</v>
      </c>
      <c r="D6" s="6" t="s">
        <v>13</v>
      </c>
      <c r="E6" s="8" t="n">
        <v>2</v>
      </c>
      <c r="F6" s="9" t="n">
        <v>1800</v>
      </c>
      <c r="G6" s="10" t="n">
        <f aca="false">E6*F6</f>
        <v>3600</v>
      </c>
      <c r="H6" s="7" t="s">
        <v>14</v>
      </c>
    </row>
    <row r="7" customFormat="false" ht="15.75" hidden="false" customHeight="true" outlineLevel="0" collapsed="false">
      <c r="A7" s="11" t="n">
        <v>2</v>
      </c>
      <c r="B7" s="12" t="s">
        <v>15</v>
      </c>
      <c r="C7" s="13" t="s">
        <v>16</v>
      </c>
      <c r="D7" s="12" t="s">
        <v>13</v>
      </c>
      <c r="E7" s="14" t="n">
        <v>2</v>
      </c>
      <c r="F7" s="15" t="n">
        <v>700</v>
      </c>
      <c r="G7" s="16" t="n">
        <f aca="false">E7*F7</f>
        <v>1400</v>
      </c>
      <c r="H7" s="13" t="s">
        <v>17</v>
      </c>
    </row>
    <row r="8" customFormat="false" ht="15.75" hidden="false" customHeight="true" outlineLevel="0" collapsed="false">
      <c r="A8" s="4" t="s">
        <v>18</v>
      </c>
      <c r="B8" s="4"/>
      <c r="C8" s="4"/>
      <c r="D8" s="4"/>
      <c r="E8" s="4"/>
      <c r="F8" s="4"/>
      <c r="G8" s="4"/>
      <c r="H8" s="4"/>
    </row>
    <row r="9" customFormat="false" ht="15.75" hidden="false" customHeight="true" outlineLevel="0" collapsed="false">
      <c r="A9" s="11" t="n">
        <v>3</v>
      </c>
      <c r="B9" s="12" t="s">
        <v>19</v>
      </c>
      <c r="C9" s="13" t="s">
        <v>20</v>
      </c>
      <c r="D9" s="12" t="s">
        <v>13</v>
      </c>
      <c r="E9" s="14" t="n">
        <v>4</v>
      </c>
      <c r="F9" s="15" t="n">
        <v>79</v>
      </c>
      <c r="G9" s="16" t="n">
        <f aca="false">E9*F9</f>
        <v>316</v>
      </c>
      <c r="H9" s="13" t="s">
        <v>21</v>
      </c>
    </row>
    <row r="10" customFormat="false" ht="15.75" hidden="false" customHeight="true" outlineLevel="0" collapsed="false">
      <c r="A10" s="5" t="n">
        <v>4</v>
      </c>
      <c r="B10" s="6" t="s">
        <v>22</v>
      </c>
      <c r="C10" s="7" t="s">
        <v>20</v>
      </c>
      <c r="D10" s="6" t="s">
        <v>13</v>
      </c>
      <c r="E10" s="8" t="n">
        <v>2</v>
      </c>
      <c r="F10" s="9" t="n">
        <v>119</v>
      </c>
      <c r="G10" s="10" t="n">
        <f aca="false">E10*F10</f>
        <v>238</v>
      </c>
      <c r="H10" s="7" t="s">
        <v>23</v>
      </c>
    </row>
    <row r="11" customFormat="false" ht="15.75" hidden="false" customHeight="true" outlineLevel="0" collapsed="false">
      <c r="A11" s="11" t="n">
        <v>5</v>
      </c>
      <c r="B11" s="12" t="s">
        <v>24</v>
      </c>
      <c r="C11" s="13" t="s">
        <v>20</v>
      </c>
      <c r="D11" s="12" t="s">
        <v>13</v>
      </c>
      <c r="E11" s="14" t="n">
        <v>2</v>
      </c>
      <c r="F11" s="15" t="n">
        <v>59</v>
      </c>
      <c r="G11" s="16" t="n">
        <f aca="false">E11*F11</f>
        <v>118</v>
      </c>
      <c r="H11" s="13" t="s">
        <v>25</v>
      </c>
    </row>
    <row r="12" customFormat="false" ht="15.75" hidden="false" customHeight="true" outlineLevel="0" collapsed="false">
      <c r="A12" s="5" t="n">
        <v>6</v>
      </c>
      <c r="B12" s="6" t="s">
        <v>26</v>
      </c>
      <c r="C12" s="7" t="s">
        <v>27</v>
      </c>
      <c r="D12" s="6" t="s">
        <v>13</v>
      </c>
      <c r="E12" s="8" t="n">
        <v>2</v>
      </c>
      <c r="F12" s="9" t="n">
        <v>49</v>
      </c>
      <c r="G12" s="10" t="n">
        <f aca="false">E12*F12</f>
        <v>98</v>
      </c>
      <c r="H12" s="7" t="s">
        <v>28</v>
      </c>
    </row>
    <row r="13" customFormat="false" ht="15.75" hidden="false" customHeight="true" outlineLevel="0" collapsed="false">
      <c r="A13" s="11" t="n">
        <v>7</v>
      </c>
      <c r="B13" s="12" t="s">
        <v>29</v>
      </c>
      <c r="C13" s="13" t="s">
        <v>30</v>
      </c>
      <c r="D13" s="12" t="s">
        <v>31</v>
      </c>
      <c r="E13" s="14" t="n">
        <v>4</v>
      </c>
      <c r="F13" s="17" t="s">
        <v>32</v>
      </c>
      <c r="G13" s="17" t="s">
        <v>32</v>
      </c>
      <c r="H13" s="13" t="s">
        <v>33</v>
      </c>
    </row>
    <row r="14" customFormat="false" ht="15.75" hidden="false" customHeight="true" outlineLevel="0" collapsed="false">
      <c r="A14" s="5" t="n">
        <v>8</v>
      </c>
      <c r="B14" s="6" t="s">
        <v>34</v>
      </c>
      <c r="C14" s="7" t="s">
        <v>35</v>
      </c>
      <c r="D14" s="6" t="s">
        <v>31</v>
      </c>
      <c r="E14" s="8" t="n">
        <v>2</v>
      </c>
      <c r="F14" s="18" t="s">
        <v>32</v>
      </c>
      <c r="G14" s="18" t="s">
        <v>32</v>
      </c>
      <c r="H14" s="7" t="s">
        <v>36</v>
      </c>
    </row>
    <row r="15" customFormat="false" ht="15.75" hidden="false" customHeight="true" outlineLevel="0" collapsed="false">
      <c r="A15" s="4" t="s">
        <v>37</v>
      </c>
      <c r="B15" s="4"/>
      <c r="C15" s="4"/>
      <c r="D15" s="4"/>
      <c r="E15" s="4"/>
      <c r="F15" s="4"/>
      <c r="G15" s="4"/>
      <c r="H15" s="4"/>
    </row>
    <row r="16" customFormat="false" ht="15.75" hidden="false" customHeight="true" outlineLevel="0" collapsed="false">
      <c r="A16" s="5" t="n">
        <v>9</v>
      </c>
      <c r="B16" s="6" t="s">
        <v>38</v>
      </c>
      <c r="C16" s="7" t="s">
        <v>39</v>
      </c>
      <c r="D16" s="6" t="s">
        <v>40</v>
      </c>
      <c r="E16" s="8" t="n">
        <v>1</v>
      </c>
      <c r="F16" s="9" t="n">
        <v>2500</v>
      </c>
      <c r="G16" s="10" t="n">
        <f aca="false">E16*F16</f>
        <v>2500</v>
      </c>
      <c r="H16" s="7" t="s">
        <v>41</v>
      </c>
    </row>
    <row r="17" customFormat="false" ht="15.75" hidden="false" customHeight="true" outlineLevel="0" collapsed="false">
      <c r="A17" s="11" t="n">
        <v>10</v>
      </c>
      <c r="B17" s="12" t="s">
        <v>42</v>
      </c>
      <c r="C17" s="13" t="s">
        <v>43</v>
      </c>
      <c r="D17" s="12" t="s">
        <v>40</v>
      </c>
      <c r="E17" s="14" t="n">
        <v>1</v>
      </c>
      <c r="F17" s="15" t="n">
        <v>1600</v>
      </c>
      <c r="G17" s="16" t="n">
        <f aca="false">E17*F17</f>
        <v>1600</v>
      </c>
      <c r="H17" s="13" t="s">
        <v>44</v>
      </c>
    </row>
    <row r="18" customFormat="false" ht="15.75" hidden="false" customHeight="true" outlineLevel="0" collapsed="false">
      <c r="A18" s="5" t="n">
        <v>11</v>
      </c>
      <c r="B18" s="6" t="s">
        <v>45</v>
      </c>
      <c r="C18" s="7" t="s">
        <v>46</v>
      </c>
      <c r="D18" s="6" t="s">
        <v>40</v>
      </c>
      <c r="E18" s="8" t="n">
        <v>1</v>
      </c>
      <c r="F18" s="18" t="s">
        <v>32</v>
      </c>
      <c r="G18" s="18" t="s">
        <v>32</v>
      </c>
      <c r="H18" s="7" t="s">
        <v>47</v>
      </c>
    </row>
    <row r="19" customFormat="false" ht="15.75" hidden="false" customHeight="true" outlineLevel="0" collapsed="false">
      <c r="A19" s="11" t="n">
        <v>12</v>
      </c>
      <c r="B19" s="12" t="s">
        <v>48</v>
      </c>
      <c r="C19" s="13" t="s">
        <v>49</v>
      </c>
      <c r="D19" s="12" t="s">
        <v>40</v>
      </c>
      <c r="E19" s="14" t="n">
        <v>1</v>
      </c>
      <c r="F19" s="17" t="s">
        <v>32</v>
      </c>
      <c r="G19" s="17" t="s">
        <v>32</v>
      </c>
      <c r="H19" s="13" t="s">
        <v>47</v>
      </c>
    </row>
    <row r="20" customFormat="false" ht="15.75" hidden="false" customHeight="true" outlineLevel="0" collapsed="false">
      <c r="A20" s="4" t="s">
        <v>50</v>
      </c>
      <c r="B20" s="4"/>
      <c r="C20" s="4"/>
      <c r="D20" s="4"/>
      <c r="E20" s="4"/>
      <c r="F20" s="4"/>
      <c r="G20" s="4"/>
      <c r="H20" s="4"/>
    </row>
    <row r="21" customFormat="false" ht="15.75" hidden="false" customHeight="true" outlineLevel="0" collapsed="false">
      <c r="A21" s="11" t="n">
        <v>13</v>
      </c>
      <c r="B21" s="12" t="s">
        <v>51</v>
      </c>
      <c r="C21" s="13" t="s">
        <v>52</v>
      </c>
      <c r="D21" s="12" t="s">
        <v>53</v>
      </c>
      <c r="E21" s="14" t="n">
        <v>2</v>
      </c>
      <c r="F21" s="15" t="n">
        <v>175</v>
      </c>
      <c r="G21" s="16" t="n">
        <f aca="false">E21*F21</f>
        <v>350</v>
      </c>
      <c r="H21" s="13" t="s">
        <v>54</v>
      </c>
    </row>
    <row r="22" customFormat="false" ht="15.75" hidden="false" customHeight="true" outlineLevel="0" collapsed="false">
      <c r="A22" s="5" t="n">
        <v>14</v>
      </c>
      <c r="B22" s="6" t="s">
        <v>55</v>
      </c>
      <c r="C22" s="7" t="s">
        <v>56</v>
      </c>
      <c r="D22" s="19" t="s">
        <v>57</v>
      </c>
      <c r="E22" s="8" t="n">
        <v>2</v>
      </c>
      <c r="F22" s="9" t="n">
        <v>30</v>
      </c>
      <c r="G22" s="10" t="n">
        <f aca="false">E22*F22</f>
        <v>60</v>
      </c>
      <c r="H22" s="7" t="s">
        <v>58</v>
      </c>
    </row>
    <row r="23" customFormat="false" ht="15.75" hidden="false" customHeight="true" outlineLevel="0" collapsed="false">
      <c r="A23" s="11" t="n">
        <v>15</v>
      </c>
      <c r="B23" s="12" t="s">
        <v>59</v>
      </c>
      <c r="C23" s="13" t="s">
        <v>60</v>
      </c>
      <c r="D23" s="20" t="s">
        <v>57</v>
      </c>
      <c r="E23" s="14" t="n">
        <v>6</v>
      </c>
      <c r="F23" s="15" t="n">
        <v>5</v>
      </c>
      <c r="G23" s="16" t="n">
        <f aca="false">E23*F23</f>
        <v>30</v>
      </c>
      <c r="H23" s="13" t="s">
        <v>61</v>
      </c>
    </row>
    <row r="24" customFormat="false" ht="15.75" hidden="false" customHeight="true" outlineLevel="0" collapsed="false">
      <c r="A24" s="5" t="n">
        <v>16</v>
      </c>
      <c r="B24" s="6" t="s">
        <v>62</v>
      </c>
      <c r="C24" s="7" t="s">
        <v>63</v>
      </c>
      <c r="D24" s="6" t="s">
        <v>64</v>
      </c>
      <c r="E24" s="8" t="n">
        <v>1</v>
      </c>
      <c r="F24" s="9" t="n">
        <v>100</v>
      </c>
      <c r="G24" s="10" t="n">
        <f aca="false">E24*F24</f>
        <v>100</v>
      </c>
      <c r="H24" s="7" t="s">
        <v>65</v>
      </c>
    </row>
    <row r="25" customFormat="false" ht="15.75" hidden="false" customHeight="true" outlineLevel="0" collapsed="false">
      <c r="A25" s="11" t="n">
        <v>17</v>
      </c>
      <c r="B25" s="12" t="s">
        <v>66</v>
      </c>
      <c r="C25" s="13" t="s">
        <v>67</v>
      </c>
      <c r="D25" s="12" t="s">
        <v>68</v>
      </c>
      <c r="E25" s="14" t="n">
        <v>4</v>
      </c>
      <c r="F25" s="15" t="n">
        <v>20</v>
      </c>
      <c r="G25" s="16" t="n">
        <f aca="false">E25*F25</f>
        <v>80</v>
      </c>
      <c r="H25" s="13" t="s">
        <v>69</v>
      </c>
    </row>
    <row r="26" customFormat="false" ht="15.75" hidden="false" customHeight="true" outlineLevel="0" collapsed="false">
      <c r="A26" s="5" t="n">
        <v>18</v>
      </c>
      <c r="B26" s="6" t="s">
        <v>70</v>
      </c>
      <c r="C26" s="7" t="s">
        <v>71</v>
      </c>
      <c r="D26" s="6" t="s">
        <v>72</v>
      </c>
      <c r="E26" s="8" t="n">
        <v>1</v>
      </c>
      <c r="F26" s="9" t="n">
        <v>120</v>
      </c>
      <c r="G26" s="10" t="n">
        <f aca="false">E26*F26</f>
        <v>120</v>
      </c>
      <c r="H26" s="7" t="s">
        <v>73</v>
      </c>
    </row>
    <row r="27" customFormat="false" ht="15.75" hidden="false" customHeight="true" outlineLevel="0" collapsed="false">
      <c r="A27" s="4" t="s">
        <v>74</v>
      </c>
      <c r="B27" s="4"/>
      <c r="C27" s="4"/>
      <c r="D27" s="4"/>
      <c r="E27" s="4"/>
      <c r="F27" s="4"/>
      <c r="G27" s="4"/>
      <c r="H27" s="4"/>
    </row>
    <row r="28" customFormat="false" ht="15.75" hidden="false" customHeight="true" outlineLevel="0" collapsed="false">
      <c r="A28" s="5" t="n">
        <v>19</v>
      </c>
      <c r="B28" s="6" t="s">
        <v>75</v>
      </c>
      <c r="C28" s="7" t="s">
        <v>76</v>
      </c>
      <c r="D28" s="6" t="s">
        <v>68</v>
      </c>
      <c r="E28" s="8" t="n">
        <v>2</v>
      </c>
      <c r="F28" s="9" t="n">
        <v>250</v>
      </c>
      <c r="G28" s="10" t="n">
        <f aca="false">E28*F28</f>
        <v>500</v>
      </c>
      <c r="H28" s="7" t="s">
        <v>77</v>
      </c>
    </row>
    <row r="29" customFormat="false" ht="15.75" hidden="false" customHeight="true" outlineLevel="0" collapsed="false">
      <c r="A29" s="11" t="n">
        <v>20</v>
      </c>
      <c r="B29" s="12" t="s">
        <v>78</v>
      </c>
      <c r="C29" s="13" t="s">
        <v>79</v>
      </c>
      <c r="D29" s="21" t="s">
        <v>80</v>
      </c>
      <c r="E29" s="14" t="n">
        <v>1</v>
      </c>
      <c r="F29" s="17" t="s">
        <v>32</v>
      </c>
      <c r="G29" s="17" t="s">
        <v>32</v>
      </c>
      <c r="H29" s="13" t="s">
        <v>81</v>
      </c>
    </row>
    <row r="30" customFormat="false" ht="15.75" hidden="false" customHeight="true" outlineLevel="0" collapsed="false">
      <c r="A30" s="5" t="n">
        <v>21</v>
      </c>
      <c r="B30" s="6" t="s">
        <v>82</v>
      </c>
      <c r="C30" s="7" t="s">
        <v>83</v>
      </c>
      <c r="D30" s="6" t="s">
        <v>84</v>
      </c>
      <c r="E30" s="8" t="n">
        <v>1</v>
      </c>
      <c r="F30" s="9" t="n">
        <v>80</v>
      </c>
      <c r="G30" s="10" t="n">
        <f aca="false">E30*F30</f>
        <v>80</v>
      </c>
      <c r="H30" s="7" t="s">
        <v>85</v>
      </c>
    </row>
    <row r="31" customFormat="false" ht="15.75" hidden="false" customHeight="true" outlineLevel="0" collapsed="false">
      <c r="A31" s="11" t="n">
        <v>22</v>
      </c>
      <c r="B31" s="12" t="s">
        <v>86</v>
      </c>
      <c r="C31" s="13" t="s">
        <v>87</v>
      </c>
      <c r="D31" s="12" t="s">
        <v>88</v>
      </c>
      <c r="E31" s="14" t="n">
        <v>1</v>
      </c>
      <c r="F31" s="15" t="n">
        <v>80</v>
      </c>
      <c r="G31" s="16" t="n">
        <f aca="false">E31*F31</f>
        <v>80</v>
      </c>
      <c r="H31" s="13" t="s">
        <v>89</v>
      </c>
    </row>
    <row r="32" customFormat="false" ht="15.75" hidden="false" customHeight="true" outlineLevel="0" collapsed="false">
      <c r="A32" s="5" t="n">
        <v>23</v>
      </c>
      <c r="B32" s="6" t="s">
        <v>90</v>
      </c>
      <c r="C32" s="7" t="s">
        <v>91</v>
      </c>
      <c r="D32" s="6" t="s">
        <v>68</v>
      </c>
      <c r="E32" s="8" t="n">
        <v>2</v>
      </c>
      <c r="F32" s="9" t="n">
        <v>25</v>
      </c>
      <c r="G32" s="10" t="n">
        <f aca="false">E32*F32</f>
        <v>50</v>
      </c>
      <c r="H32" s="7" t="s">
        <v>92</v>
      </c>
    </row>
    <row r="33" customFormat="false" ht="15.75" hidden="false" customHeight="true" outlineLevel="0" collapsed="false">
      <c r="A33" s="4" t="s">
        <v>93</v>
      </c>
      <c r="B33" s="4"/>
      <c r="C33" s="4"/>
      <c r="D33" s="4"/>
      <c r="E33" s="4"/>
      <c r="F33" s="4"/>
      <c r="G33" s="4"/>
      <c r="H33" s="4"/>
    </row>
    <row r="34" customFormat="false" ht="15.75" hidden="false" customHeight="true" outlineLevel="0" collapsed="false">
      <c r="A34" s="5" t="n">
        <v>24</v>
      </c>
      <c r="B34" s="6" t="s">
        <v>94</v>
      </c>
      <c r="C34" s="7" t="s">
        <v>95</v>
      </c>
      <c r="D34" s="22" t="s">
        <v>80</v>
      </c>
      <c r="E34" s="8" t="n">
        <v>1</v>
      </c>
      <c r="F34" s="18" t="s">
        <v>32</v>
      </c>
      <c r="G34" s="18" t="s">
        <v>32</v>
      </c>
      <c r="H34" s="7" t="s">
        <v>96</v>
      </c>
    </row>
    <row r="35" customFormat="false" ht="7.5" hidden="false" customHeight="true" outlineLevel="0" collapsed="false"/>
    <row r="36" customFormat="false" ht="21.75" hidden="false" customHeight="true" outlineLevel="0" collapsed="false">
      <c r="A36" s="23" t="s">
        <v>97</v>
      </c>
      <c r="B36" s="23"/>
      <c r="C36" s="23"/>
      <c r="D36" s="23"/>
      <c r="E36" s="23"/>
      <c r="F36" s="23"/>
      <c r="G36" s="24" t="n">
        <f aca="false">G6+G7+G9+G10+G11+G12+G16+G17+G21+G22+G23+G24+G25+G26+G28+G30+G31+G32</f>
        <v>11320</v>
      </c>
      <c r="H36" s="25"/>
    </row>
    <row r="37" customFormat="false" ht="15.75" hidden="false" customHeight="true" outlineLevel="0" collapsed="false">
      <c r="A37" s="26" t="s">
        <v>98</v>
      </c>
      <c r="B37" s="26"/>
      <c r="C37" s="26"/>
      <c r="D37" s="26"/>
      <c r="E37" s="26"/>
      <c r="F37" s="26"/>
      <c r="G37" s="27" t="s">
        <v>99</v>
      </c>
      <c r="H37" s="28"/>
    </row>
    <row r="38" customFormat="false" ht="15.75" hidden="false" customHeight="true" outlineLevel="0" collapsed="false">
      <c r="A38" s="29" t="s">
        <v>100</v>
      </c>
      <c r="B38" s="29"/>
      <c r="C38" s="29"/>
      <c r="D38" s="29"/>
      <c r="E38" s="29"/>
      <c r="F38" s="29"/>
      <c r="G38" s="30" t="s">
        <v>101</v>
      </c>
      <c r="H38" s="28"/>
    </row>
    <row r="40" customFormat="false" ht="15.75" hidden="false" customHeight="true" outlineLevel="0" collapsed="false">
      <c r="A40" s="31" t="s">
        <v>102</v>
      </c>
      <c r="B40" s="31"/>
      <c r="C40" s="31"/>
      <c r="D40" s="31"/>
      <c r="E40" s="31"/>
      <c r="F40" s="31"/>
      <c r="G40" s="31"/>
      <c r="H40" s="31"/>
    </row>
    <row r="41" customFormat="false" ht="24" hidden="false" customHeight="true" outlineLevel="0" collapsed="false">
      <c r="A41" s="32" t="s">
        <v>103</v>
      </c>
      <c r="B41" s="33" t="s">
        <v>104</v>
      </c>
      <c r="C41" s="33"/>
      <c r="D41" s="34" t="s">
        <v>105</v>
      </c>
      <c r="E41" s="34"/>
      <c r="F41" s="34"/>
      <c r="G41" s="34"/>
      <c r="H41" s="34"/>
    </row>
    <row r="42" customFormat="false" ht="24" hidden="false" customHeight="true" outlineLevel="0" collapsed="false">
      <c r="A42" s="32" t="s">
        <v>103</v>
      </c>
      <c r="B42" s="33" t="s">
        <v>106</v>
      </c>
      <c r="C42" s="33"/>
      <c r="D42" s="34" t="s">
        <v>107</v>
      </c>
      <c r="E42" s="34"/>
      <c r="F42" s="34"/>
      <c r="G42" s="34"/>
      <c r="H42" s="34"/>
    </row>
    <row r="43" customFormat="false" ht="24" hidden="false" customHeight="true" outlineLevel="0" collapsed="false">
      <c r="A43" s="35" t="s">
        <v>108</v>
      </c>
      <c r="B43" s="33" t="s">
        <v>109</v>
      </c>
      <c r="C43" s="33"/>
      <c r="D43" s="34" t="s">
        <v>110</v>
      </c>
      <c r="E43" s="34"/>
      <c r="F43" s="34"/>
      <c r="G43" s="34"/>
      <c r="H43" s="34"/>
    </row>
    <row r="44" customFormat="false" ht="24" hidden="false" customHeight="true" outlineLevel="0" collapsed="false">
      <c r="A44" s="35" t="s">
        <v>108</v>
      </c>
      <c r="B44" s="33" t="s">
        <v>111</v>
      </c>
      <c r="C44" s="33"/>
      <c r="D44" s="34" t="s">
        <v>112</v>
      </c>
      <c r="E44" s="34"/>
      <c r="F44" s="34"/>
      <c r="G44" s="34"/>
      <c r="H44" s="34"/>
    </row>
    <row r="45" customFormat="false" ht="24" hidden="false" customHeight="true" outlineLevel="0" collapsed="false">
      <c r="A45" s="35" t="s">
        <v>108</v>
      </c>
      <c r="B45" s="33" t="s">
        <v>113</v>
      </c>
      <c r="C45" s="33"/>
      <c r="D45" s="34" t="s">
        <v>114</v>
      </c>
      <c r="E45" s="34"/>
      <c r="F45" s="34"/>
      <c r="G45" s="34"/>
      <c r="H45" s="34"/>
    </row>
    <row r="46" customFormat="false" ht="24" hidden="false" customHeight="true" outlineLevel="0" collapsed="false">
      <c r="A46" s="35" t="s">
        <v>108</v>
      </c>
      <c r="B46" s="33" t="s">
        <v>115</v>
      </c>
      <c r="C46" s="33"/>
      <c r="D46" s="34" t="s">
        <v>116</v>
      </c>
      <c r="E46" s="34"/>
      <c r="F46" s="34"/>
      <c r="G46" s="34"/>
      <c r="H46" s="34"/>
    </row>
    <row r="47" customFormat="false" ht="24" hidden="false" customHeight="true" outlineLevel="0" collapsed="false">
      <c r="A47" s="35" t="s">
        <v>108</v>
      </c>
      <c r="B47" s="33" t="s">
        <v>117</v>
      </c>
      <c r="C47" s="33"/>
      <c r="D47" s="34" t="s">
        <v>118</v>
      </c>
      <c r="E47" s="34"/>
      <c r="F47" s="34"/>
      <c r="G47" s="34"/>
      <c r="H47" s="34"/>
    </row>
  </sheetData>
  <mergeCells count="26">
    <mergeCell ref="A1:H1"/>
    <mergeCell ref="A2:H2"/>
    <mergeCell ref="A5:H5"/>
    <mergeCell ref="A8:H8"/>
    <mergeCell ref="A15:H15"/>
    <mergeCell ref="A20:H20"/>
    <mergeCell ref="A27:H27"/>
    <mergeCell ref="A33:H33"/>
    <mergeCell ref="A36:F36"/>
    <mergeCell ref="A37:F37"/>
    <mergeCell ref="A38:F38"/>
    <mergeCell ref="A40:H40"/>
    <mergeCell ref="B41:C41"/>
    <mergeCell ref="D41:H41"/>
    <mergeCell ref="B42:C42"/>
    <mergeCell ref="D42:H42"/>
    <mergeCell ref="B43:C43"/>
    <mergeCell ref="D43:H43"/>
    <mergeCell ref="B44:C44"/>
    <mergeCell ref="D44:H44"/>
    <mergeCell ref="B45:C45"/>
    <mergeCell ref="D45:H45"/>
    <mergeCell ref="B46:C46"/>
    <mergeCell ref="D46:H46"/>
    <mergeCell ref="B47:C47"/>
    <mergeCell ref="D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2026-06-02T09:25:06Z</dcterms:created>
  <dc:creator>openpyxl</dc:creator>
  <dc:description/>
  <dc:language>en-US</dc:language>
  <cp:lastModifiedBy/>
  <dcterms:modified xsi:type="dcterms:W3CDTF">2026-06-02T09:25:06Z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